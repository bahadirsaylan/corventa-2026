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@Plarime\.Corventa\"/>
    </mc:Choice>
  </mc:AlternateContent>
  <bookViews>
    <workbookView xWindow="0" yWindow="0" windowWidth="28800" windowHeight="12315"/>
  </bookViews>
  <sheets>
    <sheet name="CAI_DevreyeAlma Planı" sheetId="1" r:id="rId1"/>
  </sheets>
  <definedNames>
    <definedName name="_xlnm.Print_Area" localSheetId="0">'CAI_DevreyeAlma Planı'!$B$2:$AY$7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H21" i="1" l="1"/>
  <c r="CD21" i="1"/>
  <c r="CC21" i="1"/>
  <c r="CB21" i="1"/>
  <c r="BY21" i="1"/>
  <c r="BX21" i="1"/>
  <c r="BW21" i="1"/>
  <c r="BV21" i="1"/>
  <c r="BU21" i="1"/>
  <c r="BR21" i="1"/>
  <c r="BQ21" i="1"/>
  <c r="CH20" i="1"/>
  <c r="CH19" i="1"/>
  <c r="A17" i="1"/>
  <c r="A15" i="1"/>
  <c r="A14" i="1"/>
  <c r="A13" i="1"/>
</calcChain>
</file>

<file path=xl/sharedStrings.xml><?xml version="1.0" encoding="utf-8"?>
<sst xmlns="http://schemas.openxmlformats.org/spreadsheetml/2006/main" count="107" uniqueCount="84">
  <si>
    <t>Sorumlu</t>
  </si>
  <si>
    <t>51. Hafta</t>
  </si>
  <si>
    <t>52. Hafta</t>
  </si>
  <si>
    <t>1. Hafta</t>
  </si>
  <si>
    <t>2. Hafta</t>
  </si>
  <si>
    <t>3. Hafta</t>
  </si>
  <si>
    <t>4. Hafta</t>
  </si>
  <si>
    <t>5. Hafta</t>
  </si>
  <si>
    <t>Ömür Bozdemir</t>
  </si>
  <si>
    <t>İbrahim Can</t>
  </si>
  <si>
    <t>Ömür B./İbrahim C.</t>
  </si>
  <si>
    <t>Extension kart tasarımı ve temini (3 hafta)</t>
  </si>
  <si>
    <t>Pano ve Kart Haberleşmesi (1 Hf)</t>
  </si>
  <si>
    <t>Kablo Tesisatı (4G)</t>
  </si>
  <si>
    <t>Yazılım Geliştirme ve Programlama (2 hf)</t>
  </si>
  <si>
    <t>6. Hafta</t>
  </si>
  <si>
    <t>7. Hafta</t>
  </si>
  <si>
    <t>8. Hafta</t>
  </si>
  <si>
    <t>9. Hafta</t>
  </si>
  <si>
    <t>10. Hafta</t>
  </si>
  <si>
    <t>Şekil-1</t>
  </si>
  <si>
    <t>Şekil-2</t>
  </si>
  <si>
    <t>Şekil-3</t>
  </si>
  <si>
    <t>Şekil-4</t>
  </si>
  <si>
    <t>Şekil-5</t>
  </si>
  <si>
    <t>Şekil-6</t>
  </si>
  <si>
    <t>Açılış ve Sensör Çalışması</t>
  </si>
  <si>
    <t>Şekil-8</t>
  </si>
  <si>
    <t>Şekil-9</t>
  </si>
  <si>
    <t>Şekil-10</t>
  </si>
  <si>
    <t>Şekil-11</t>
  </si>
  <si>
    <t>Şekil-12</t>
  </si>
  <si>
    <t>Şekil-13</t>
  </si>
  <si>
    <t>Şekil-11A</t>
  </si>
  <si>
    <t>Şekil-11B</t>
  </si>
  <si>
    <t>Şekil-11S</t>
  </si>
  <si>
    <t>Şekil-11R</t>
  </si>
  <si>
    <t>Şekil-11H</t>
  </si>
  <si>
    <t>Şekil-11G</t>
  </si>
  <si>
    <t>Şekil-11LP</t>
  </si>
  <si>
    <t>Şekil-11L</t>
  </si>
  <si>
    <t>Şekil-11P</t>
  </si>
  <si>
    <t>Şekil-11SP</t>
  </si>
  <si>
    <t>Şekil-11Y</t>
  </si>
  <si>
    <t>Şekil-11SV</t>
  </si>
  <si>
    <t>Şekil-11X</t>
  </si>
  <si>
    <t>Şekil-13H</t>
  </si>
  <si>
    <t>Şekil-14</t>
  </si>
  <si>
    <t>Şekil-14G</t>
  </si>
  <si>
    <t>Şekil-14F</t>
  </si>
  <si>
    <t>Şekil-14LP</t>
  </si>
  <si>
    <t>Şekil-15</t>
  </si>
  <si>
    <t>Şekil-16</t>
  </si>
  <si>
    <t>Şekil-17</t>
  </si>
  <si>
    <t>Şekil-18</t>
  </si>
  <si>
    <t>Şekil-20</t>
  </si>
  <si>
    <t>Şekil-21</t>
  </si>
  <si>
    <t>Yapay Zeka Veri Grişi</t>
  </si>
  <si>
    <t>Yapay Zeka Kıvrım İşlemi</t>
  </si>
  <si>
    <t>Şekil-22</t>
  </si>
  <si>
    <t>Manuel Kıvrım İşlemi</t>
  </si>
  <si>
    <t>Şekil-23</t>
  </si>
  <si>
    <t>Şekil-24</t>
  </si>
  <si>
    <t>Şekil-26</t>
  </si>
  <si>
    <t>Şekil-27</t>
  </si>
  <si>
    <t>Şekil-28</t>
  </si>
  <si>
    <t>Şekil-29</t>
  </si>
  <si>
    <t>Şekil-30</t>
  </si>
  <si>
    <t>Şekil-63</t>
  </si>
  <si>
    <t>29/02 Fiili denemesi ve devreye alma</t>
  </si>
  <si>
    <t>04/03 Fiili denemesi ve devreye alma</t>
  </si>
  <si>
    <t>06/03 Fiili denemesi ve devreye alma</t>
  </si>
  <si>
    <t>11/03 Fiili denemesi ve devreye alma</t>
  </si>
  <si>
    <t>PLANLANAN</t>
  </si>
  <si>
    <t>GERÇEKLEŞEN</t>
  </si>
  <si>
    <t>Remote I/O değişiklik kararı ve devreye alma</t>
  </si>
  <si>
    <t>P/G</t>
  </si>
  <si>
    <t>Planlanan Ekran Sayısı</t>
  </si>
  <si>
    <t>Gerçekleşen Ekran Sayısı</t>
  </si>
  <si>
    <t>Gerçekleşme Oranı</t>
  </si>
  <si>
    <t>29/02</t>
  </si>
  <si>
    <t>04/03</t>
  </si>
  <si>
    <t>06/03</t>
  </si>
  <si>
    <t>11/03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</si>
</sst>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5">
    <xf numFmtId="0" fontId="0" fillId="0" borderId="0" xfId="0"/>
    <xf numFmtId="0" fontId="0" fillId="2" borderId="0" xfId="0" applyFill="1"/>
    <xf numFmtId="16" fontId="1" fillId="2" borderId="1" xfId="0" applyNumberFormat="1" applyFont="1" applyFill="1" applyBorder="1" applyAlignment="1">
      <alignment textRotation="90"/>
    </xf>
    <xf numFmtId="0" fontId="0" fillId="2" borderId="1" xfId="0" applyFill="1" applyBorder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1" fillId="3" borderId="2" xfId="0" applyFont="1" applyFill="1" applyBorder="1" applyAlignment="1"/>
    <xf numFmtId="0" fontId="1" fillId="3" borderId="3" xfId="0" applyFont="1" applyFill="1" applyBorder="1" applyAlignment="1"/>
    <xf numFmtId="0" fontId="1" fillId="3" borderId="4" xfId="0" applyFont="1" applyFill="1" applyBorder="1" applyAlignment="1"/>
    <xf numFmtId="0" fontId="0" fillId="4" borderId="3" xfId="0" applyFill="1" applyBorder="1"/>
    <xf numFmtId="0" fontId="0" fillId="4" borderId="4" xfId="0" applyFill="1" applyBorder="1"/>
    <xf numFmtId="0" fontId="1" fillId="5" borderId="2" xfId="0" applyFont="1" applyFill="1" applyBorder="1"/>
    <xf numFmtId="0" fontId="0" fillId="5" borderId="3" xfId="0" applyFill="1" applyBorder="1"/>
    <xf numFmtId="0" fontId="0" fillId="5" borderId="4" xfId="0" applyFill="1" applyBorder="1"/>
    <xf numFmtId="0" fontId="1" fillId="6" borderId="2" xfId="0" applyFont="1" applyFill="1" applyBorder="1"/>
    <xf numFmtId="0" fontId="0" fillId="6" borderId="3" xfId="0" applyFill="1" applyBorder="1"/>
    <xf numFmtId="0" fontId="0" fillId="6" borderId="4" xfId="0" applyFill="1" applyBorder="1"/>
    <xf numFmtId="0" fontId="0" fillId="4" borderId="2" xfId="0" applyFill="1" applyBorder="1"/>
    <xf numFmtId="0" fontId="1" fillId="4" borderId="3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5" borderId="8" xfId="0" applyFill="1" applyBorder="1"/>
    <xf numFmtId="0" fontId="1" fillId="7" borderId="2" xfId="0" applyFont="1" applyFill="1" applyBorder="1" applyAlignment="1"/>
    <xf numFmtId="0" fontId="1" fillId="7" borderId="3" xfId="0" applyFont="1" applyFill="1" applyBorder="1" applyAlignment="1"/>
    <xf numFmtId="0" fontId="0" fillId="7" borderId="3" xfId="0" applyFill="1" applyBorder="1"/>
    <xf numFmtId="0" fontId="0" fillId="7" borderId="4" xfId="0" applyFill="1" applyBorder="1"/>
    <xf numFmtId="0" fontId="0" fillId="8" borderId="0" xfId="0" applyFill="1" applyBorder="1"/>
    <xf numFmtId="0" fontId="1" fillId="2" borderId="0" xfId="0" applyFont="1" applyFill="1" applyBorder="1" applyAlignment="1"/>
    <xf numFmtId="0" fontId="0" fillId="10" borderId="3" xfId="0" applyFill="1" applyBorder="1"/>
    <xf numFmtId="0" fontId="0" fillId="10" borderId="4" xfId="0" applyFill="1" applyBorder="1"/>
    <xf numFmtId="0" fontId="1" fillId="9" borderId="2" xfId="0" applyFont="1" applyFill="1" applyBorder="1"/>
    <xf numFmtId="0" fontId="0" fillId="9" borderId="3" xfId="0" applyFill="1" applyBorder="1"/>
    <xf numFmtId="0" fontId="0" fillId="9" borderId="4" xfId="0" applyFill="1" applyBorder="1"/>
    <xf numFmtId="0" fontId="1" fillId="10" borderId="2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0" xfId="0" applyFill="1" applyAlignment="1">
      <alignment horizontal="right"/>
    </xf>
    <xf numFmtId="0" fontId="1" fillId="2" borderId="0" xfId="0" applyFont="1" applyFill="1" applyAlignment="1">
      <alignment horizontal="right"/>
    </xf>
    <xf numFmtId="9" fontId="0" fillId="2" borderId="0" xfId="1" applyFont="1" applyFill="1"/>
    <xf numFmtId="9" fontId="0" fillId="2" borderId="1" xfId="1" applyFont="1" applyFill="1" applyBorder="1"/>
    <xf numFmtId="0" fontId="0" fillId="5" borderId="12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0" xfId="0" applyFill="1" applyBorder="1"/>
    <xf numFmtId="0" fontId="0" fillId="5" borderId="6" xfId="0" applyFill="1" applyBorder="1"/>
    <xf numFmtId="0" fontId="0" fillId="5" borderId="7" xfId="0" applyFill="1" applyBorder="1"/>
    <xf numFmtId="0" fontId="0" fillId="8" borderId="12" xfId="0" applyFill="1" applyBorder="1"/>
    <xf numFmtId="0" fontId="0" fillId="8" borderId="10" xfId="0" applyFill="1" applyBorder="1"/>
    <xf numFmtId="0" fontId="0" fillId="8" borderId="11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3" fillId="5" borderId="10" xfId="0" quotePrefix="1" applyFont="1" applyFill="1" applyBorder="1"/>
    <xf numFmtId="0" fontId="3" fillId="8" borderId="10" xfId="0" quotePrefix="1" applyFont="1" applyFill="1" applyBorder="1"/>
    <xf numFmtId="0" fontId="1" fillId="12" borderId="0" xfId="0" applyFont="1" applyFill="1" applyAlignment="1">
      <alignment horizontal="center"/>
    </xf>
    <xf numFmtId="14" fontId="1" fillId="12" borderId="0" xfId="0" applyNumberFormat="1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14" fontId="1" fillId="11" borderId="0" xfId="0" applyNumberFormat="1" applyFont="1" applyFill="1" applyAlignment="1">
      <alignment horizontal="center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66</xdr:col>
      <xdr:colOff>190500</xdr:colOff>
      <xdr:row>22</xdr:row>
      <xdr:rowOff>47624</xdr:rowOff>
    </xdr:from>
    <xdr:to>
      <xdr:col>67</xdr:col>
      <xdr:colOff>190500</xdr:colOff>
      <xdr:row>27</xdr:row>
      <xdr:rowOff>171449</xdr:rowOff>
    </xdr:to>
    <xdr:sp macro="" textlink="">
      <xdr:nvSpPr>
        <xdr:cNvPr id="2" name="Sağ Ayraç 1"/>
        <xdr:cNvSpPr/>
      </xdr:nvSpPr>
      <xdr:spPr>
        <a:xfrm>
          <a:off x="2514600" y="4810124"/>
          <a:ext cx="247650" cy="1076325"/>
        </a:xfrm>
        <a:prstGeom prst="rightBrace">
          <a:avLst>
            <a:gd name="adj1" fmla="val 8333"/>
            <a:gd name="adj2" fmla="val 41856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 b="1"/>
        </a:p>
      </xdr:txBody>
    </xdr:sp>
    <xdr:clientData/>
  </xdr:twoCellAnchor>
  <xdr:twoCellAnchor>
    <xdr:from>
      <xdr:col>72</xdr:col>
      <xdr:colOff>1360</xdr:colOff>
      <xdr:row>37</xdr:row>
      <xdr:rowOff>35379</xdr:rowOff>
    </xdr:from>
    <xdr:to>
      <xdr:col>74</xdr:col>
      <xdr:colOff>68036</xdr:colOff>
      <xdr:row>53</xdr:row>
      <xdr:rowOff>140154</xdr:rowOff>
    </xdr:to>
    <xdr:sp macro="" textlink="">
      <xdr:nvSpPr>
        <xdr:cNvPr id="3" name="Sağ Ayraç 2"/>
        <xdr:cNvSpPr/>
      </xdr:nvSpPr>
      <xdr:spPr>
        <a:xfrm>
          <a:off x="3797753" y="8458200"/>
          <a:ext cx="556533" cy="3152775"/>
        </a:xfrm>
        <a:prstGeom prst="rightBrace">
          <a:avLst>
            <a:gd name="adj1" fmla="val 8333"/>
            <a:gd name="adj2" fmla="val 44230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 b="1"/>
        </a:p>
      </xdr:txBody>
    </xdr:sp>
    <xdr:clientData/>
  </xdr:twoCellAnchor>
  <xdr:twoCellAnchor>
    <xdr:from>
      <xdr:col>75</xdr:col>
      <xdr:colOff>104774</xdr:colOff>
      <xdr:row>54</xdr:row>
      <xdr:rowOff>28576</xdr:rowOff>
    </xdr:from>
    <xdr:to>
      <xdr:col>76</xdr:col>
      <xdr:colOff>142875</xdr:colOff>
      <xdr:row>66</xdr:row>
      <xdr:rowOff>180976</xdr:rowOff>
    </xdr:to>
    <xdr:sp macro="" textlink="">
      <xdr:nvSpPr>
        <xdr:cNvPr id="4" name="Sağ Ayraç 3"/>
        <xdr:cNvSpPr/>
      </xdr:nvSpPr>
      <xdr:spPr>
        <a:xfrm>
          <a:off x="3914774" y="9553576"/>
          <a:ext cx="285751" cy="2438400"/>
        </a:xfrm>
        <a:prstGeom prst="rightBrace">
          <a:avLst>
            <a:gd name="adj1" fmla="val 8333"/>
            <a:gd name="adj2" fmla="val 41856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 b="1"/>
        </a:p>
      </xdr:txBody>
    </xdr:sp>
    <xdr:clientData/>
  </xdr:twoCellAnchor>
  <xdr:twoCellAnchor>
    <xdr:from>
      <xdr:col>69</xdr:col>
      <xdr:colOff>19050</xdr:colOff>
      <xdr:row>28</xdr:row>
      <xdr:rowOff>19051</xdr:rowOff>
    </xdr:from>
    <xdr:to>
      <xdr:col>70</xdr:col>
      <xdr:colOff>47626</xdr:colOff>
      <xdr:row>37</xdr:row>
      <xdr:rowOff>9525</xdr:rowOff>
    </xdr:to>
    <xdr:sp macro="" textlink="">
      <xdr:nvSpPr>
        <xdr:cNvPr id="5" name="Sağ Ayraç 4"/>
        <xdr:cNvSpPr/>
      </xdr:nvSpPr>
      <xdr:spPr>
        <a:xfrm>
          <a:off x="3078256" y="5935757"/>
          <a:ext cx="275105" cy="1704974"/>
        </a:xfrm>
        <a:prstGeom prst="rightBrace">
          <a:avLst>
            <a:gd name="adj1" fmla="val 8333"/>
            <a:gd name="adj2" fmla="val 48428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62</xdr:col>
      <xdr:colOff>122464</xdr:colOff>
      <xdr:row>22</xdr:row>
      <xdr:rowOff>231322</xdr:rowOff>
    </xdr:from>
    <xdr:to>
      <xdr:col>64</xdr:col>
      <xdr:colOff>108857</xdr:colOff>
      <xdr:row>26</xdr:row>
      <xdr:rowOff>149679</xdr:rowOff>
    </xdr:to>
    <xdr:sp macro="" textlink="">
      <xdr:nvSpPr>
        <xdr:cNvPr id="6" name="Metin kutusu 5"/>
        <xdr:cNvSpPr txBox="1"/>
      </xdr:nvSpPr>
      <xdr:spPr>
        <a:xfrm>
          <a:off x="16655143" y="5034643"/>
          <a:ext cx="476250" cy="762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tr-TR" sz="4400"/>
            <a:t>1</a:t>
          </a:r>
          <a:endParaRPr lang="en-GB" sz="4400"/>
        </a:p>
      </xdr:txBody>
    </xdr:sp>
    <xdr:clientData/>
  </xdr:twoCellAnchor>
  <xdr:twoCellAnchor>
    <xdr:from>
      <xdr:col>64</xdr:col>
      <xdr:colOff>125185</xdr:colOff>
      <xdr:row>30</xdr:row>
      <xdr:rowOff>29936</xdr:rowOff>
    </xdr:from>
    <xdr:to>
      <xdr:col>66</xdr:col>
      <xdr:colOff>111578</xdr:colOff>
      <xdr:row>34</xdr:row>
      <xdr:rowOff>29936</xdr:rowOff>
    </xdr:to>
    <xdr:sp macro="" textlink="">
      <xdr:nvSpPr>
        <xdr:cNvPr id="7" name="Metin kutusu 6"/>
        <xdr:cNvSpPr txBox="1"/>
      </xdr:nvSpPr>
      <xdr:spPr>
        <a:xfrm>
          <a:off x="17147721" y="6520543"/>
          <a:ext cx="476250" cy="762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tr-TR" sz="4400"/>
            <a:t>2</a:t>
          </a:r>
          <a:endParaRPr lang="en-GB" sz="4400"/>
        </a:p>
      </xdr:txBody>
    </xdr:sp>
    <xdr:clientData/>
  </xdr:twoCellAnchor>
  <xdr:twoCellAnchor>
    <xdr:from>
      <xdr:col>68</xdr:col>
      <xdr:colOff>70756</xdr:colOff>
      <xdr:row>42</xdr:row>
      <xdr:rowOff>166007</xdr:rowOff>
    </xdr:from>
    <xdr:to>
      <xdr:col>69</xdr:col>
      <xdr:colOff>220435</xdr:colOff>
      <xdr:row>46</xdr:row>
      <xdr:rowOff>166007</xdr:rowOff>
    </xdr:to>
    <xdr:sp macro="" textlink="">
      <xdr:nvSpPr>
        <xdr:cNvPr id="8" name="Metin kutusu 7"/>
        <xdr:cNvSpPr txBox="1"/>
      </xdr:nvSpPr>
      <xdr:spPr>
        <a:xfrm>
          <a:off x="18073006" y="9024257"/>
          <a:ext cx="476250" cy="762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tr-TR" sz="4400"/>
            <a:t>3</a:t>
          </a:r>
          <a:endParaRPr lang="en-GB" sz="4400"/>
        </a:p>
      </xdr:txBody>
    </xdr:sp>
    <xdr:clientData/>
  </xdr:twoCellAnchor>
  <xdr:twoCellAnchor>
    <xdr:from>
      <xdr:col>71</xdr:col>
      <xdr:colOff>16328</xdr:colOff>
      <xdr:row>58</xdr:row>
      <xdr:rowOff>152400</xdr:rowOff>
    </xdr:from>
    <xdr:to>
      <xdr:col>72</xdr:col>
      <xdr:colOff>247649</xdr:colOff>
      <xdr:row>62</xdr:row>
      <xdr:rowOff>152400</xdr:rowOff>
    </xdr:to>
    <xdr:sp macro="" textlink="">
      <xdr:nvSpPr>
        <xdr:cNvPr id="9" name="Metin kutusu 8"/>
        <xdr:cNvSpPr txBox="1"/>
      </xdr:nvSpPr>
      <xdr:spPr>
        <a:xfrm>
          <a:off x="18916649" y="12140293"/>
          <a:ext cx="476250" cy="762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tr-TR" sz="4400"/>
            <a:t>4</a:t>
          </a:r>
          <a:endParaRPr lang="en-GB" sz="4400"/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67"/>
  <sheetViews>
    <sheetView tabSelected="1" zoomScale="70" zoomScaleNormal="70" workbookViewId="0">
      <pane ySplit="3" topLeftCell="A19" activePane="bottomLeft" state="frozen"/>
      <selection pane="bottomLeft" activeCell="B3" sqref="B3"/>
    </sheetView>
  </sheetViews>
  <sheetFormatPr defaultRowHeight="15" x14ac:dyDescent="0.25"/>
  <cols>
    <col min="1" max="1" width="9.140625" style="1"/>
    <col min="2" max="2" width="18.28515625" style="1" bestFit="1" customWidth="1"/>
    <col min="3" max="68" width="3.7109375" style="1" bestFit="1" customWidth="1"/>
    <col min="69" max="69" width="4.85546875" style="1" bestFit="1" customWidth="1"/>
    <col min="70" max="70" width="4.7109375" style="1" customWidth="1"/>
    <col min="71" max="71" width="3.85546875" style="1" customWidth="1"/>
    <col min="72" max="72" width="3.7109375" style="1" bestFit="1" customWidth="1"/>
    <col min="73" max="73" width="5.28515625" style="1" bestFit="1" customWidth="1"/>
    <col min="74" max="74" width="5.85546875" style="1" bestFit="1" customWidth="1"/>
    <col min="75" max="85" width="3.7109375" style="1" bestFit="1" customWidth="1"/>
    <col min="86" max="86" width="5.28515625" style="1" bestFit="1" customWidth="1"/>
    <col min="87" max="16384" width="9.140625" style="1"/>
  </cols>
  <sheetData>
    <row r="1" spans="1:86" x14ac:dyDescent="0.25">
      <c r="B1" s="61" t="s">
        <v>73</v>
      </c>
    </row>
    <row r="2" spans="1:86" x14ac:dyDescent="0.25">
      <c r="B2" s="62">
        <v>45286</v>
      </c>
      <c r="C2" s="24" t="s">
        <v>1</v>
      </c>
      <c r="D2" s="24"/>
      <c r="E2" s="24"/>
      <c r="F2" s="24"/>
      <c r="G2" s="24"/>
      <c r="H2" s="24"/>
      <c r="I2" s="24"/>
      <c r="J2" s="24" t="s">
        <v>2</v>
      </c>
      <c r="K2" s="24"/>
      <c r="L2" s="24"/>
      <c r="M2" s="24"/>
      <c r="N2" s="24"/>
      <c r="O2" s="24"/>
      <c r="P2" s="24"/>
      <c r="Q2" s="24" t="s">
        <v>3</v>
      </c>
      <c r="R2" s="24"/>
      <c r="S2" s="24"/>
      <c r="T2" s="24"/>
      <c r="U2" s="24"/>
      <c r="V2" s="24"/>
      <c r="W2" s="24"/>
      <c r="X2" s="24" t="s">
        <v>4</v>
      </c>
      <c r="Y2" s="24"/>
      <c r="Z2" s="24"/>
      <c r="AA2" s="24"/>
      <c r="AB2" s="24"/>
      <c r="AC2" s="24"/>
      <c r="AD2" s="24"/>
      <c r="AE2" s="24" t="s">
        <v>5</v>
      </c>
      <c r="AF2" s="24"/>
      <c r="AG2" s="24"/>
      <c r="AH2" s="24"/>
      <c r="AI2" s="24"/>
      <c r="AJ2" s="24"/>
      <c r="AK2" s="24"/>
      <c r="AL2" s="24" t="s">
        <v>6</v>
      </c>
      <c r="AM2" s="24"/>
      <c r="AN2" s="24"/>
      <c r="AO2" s="24"/>
      <c r="AP2" s="24"/>
      <c r="AQ2" s="24"/>
      <c r="AR2" s="24"/>
      <c r="AS2" s="24" t="s">
        <v>7</v>
      </c>
      <c r="AT2" s="24"/>
      <c r="AU2" s="24"/>
      <c r="AV2" s="24"/>
      <c r="AW2" s="24"/>
      <c r="AX2" s="24"/>
      <c r="AY2" s="24"/>
      <c r="AZ2" s="24" t="s">
        <v>15</v>
      </c>
      <c r="BA2" s="24"/>
      <c r="BB2" s="24"/>
      <c r="BC2" s="24"/>
      <c r="BD2" s="24"/>
      <c r="BE2" s="24"/>
      <c r="BF2" s="24"/>
      <c r="BG2" s="24" t="s">
        <v>16</v>
      </c>
      <c r="BH2" s="24"/>
      <c r="BI2" s="24"/>
      <c r="BJ2" s="24"/>
      <c r="BK2" s="24"/>
      <c r="BL2" s="24"/>
      <c r="BM2" s="24"/>
      <c r="BN2" s="24" t="s">
        <v>17</v>
      </c>
      <c r="BO2" s="24"/>
      <c r="BP2" s="24"/>
      <c r="BQ2" s="24"/>
      <c r="BR2" s="24"/>
      <c r="BS2" s="24"/>
      <c r="BT2" s="24"/>
      <c r="BU2" s="24" t="s">
        <v>18</v>
      </c>
      <c r="BV2" s="24"/>
      <c r="BW2" s="24"/>
      <c r="BX2" s="24"/>
      <c r="BY2" s="24"/>
      <c r="BZ2" s="24"/>
      <c r="CA2" s="24"/>
      <c r="CB2" s="24" t="s">
        <v>19</v>
      </c>
      <c r="CC2" s="24"/>
      <c r="CD2" s="24"/>
      <c r="CE2" s="24"/>
      <c r="CF2" s="24"/>
      <c r="CG2" s="24"/>
      <c r="CH2" s="24"/>
    </row>
    <row r="3" spans="1:86" ht="39.75" customHeight="1" x14ac:dyDescent="0.25">
      <c r="B3" s="23" t="s">
        <v>0</v>
      </c>
      <c r="C3" s="2">
        <v>45278</v>
      </c>
      <c r="D3" s="2">
        <v>45279</v>
      </c>
      <c r="E3" s="2">
        <v>45280</v>
      </c>
      <c r="F3" s="2">
        <v>45281</v>
      </c>
      <c r="G3" s="2">
        <v>45282</v>
      </c>
      <c r="H3" s="2">
        <v>45283</v>
      </c>
      <c r="I3" s="2">
        <v>45284</v>
      </c>
      <c r="J3" s="2">
        <v>45285</v>
      </c>
      <c r="K3" s="2">
        <v>45286</v>
      </c>
      <c r="L3" s="2">
        <v>45287</v>
      </c>
      <c r="M3" s="2">
        <v>45288</v>
      </c>
      <c r="N3" s="2">
        <v>45289</v>
      </c>
      <c r="O3" s="2">
        <v>45290</v>
      </c>
      <c r="P3" s="2">
        <v>45291</v>
      </c>
      <c r="Q3" s="2">
        <v>45292</v>
      </c>
      <c r="R3" s="2">
        <v>45293</v>
      </c>
      <c r="S3" s="2">
        <v>45294</v>
      </c>
      <c r="T3" s="2">
        <v>45295</v>
      </c>
      <c r="U3" s="2">
        <v>45296</v>
      </c>
      <c r="V3" s="2">
        <v>45297</v>
      </c>
      <c r="W3" s="2">
        <v>45298</v>
      </c>
      <c r="X3" s="2">
        <v>45299</v>
      </c>
      <c r="Y3" s="2">
        <v>45300</v>
      </c>
      <c r="Z3" s="2">
        <v>45301</v>
      </c>
      <c r="AA3" s="2">
        <v>45302</v>
      </c>
      <c r="AB3" s="2">
        <v>45303</v>
      </c>
      <c r="AC3" s="2">
        <v>45304</v>
      </c>
      <c r="AD3" s="2">
        <v>45305</v>
      </c>
      <c r="AE3" s="2">
        <v>45306</v>
      </c>
      <c r="AF3" s="2">
        <v>45307</v>
      </c>
      <c r="AG3" s="2">
        <v>45308</v>
      </c>
      <c r="AH3" s="2">
        <v>45309</v>
      </c>
      <c r="AI3" s="2">
        <v>45310</v>
      </c>
      <c r="AJ3" s="2">
        <v>45311</v>
      </c>
      <c r="AK3" s="2">
        <v>45312</v>
      </c>
      <c r="AL3" s="2">
        <v>45313</v>
      </c>
      <c r="AM3" s="2">
        <v>45314</v>
      </c>
      <c r="AN3" s="2">
        <v>45315</v>
      </c>
      <c r="AO3" s="2">
        <v>45316</v>
      </c>
      <c r="AP3" s="2">
        <v>45317</v>
      </c>
      <c r="AQ3" s="2">
        <v>45318</v>
      </c>
      <c r="AR3" s="2">
        <v>45319</v>
      </c>
      <c r="AS3" s="2">
        <v>45320</v>
      </c>
      <c r="AT3" s="2">
        <v>45321</v>
      </c>
      <c r="AU3" s="2">
        <v>45322</v>
      </c>
      <c r="AV3" s="2">
        <v>45323</v>
      </c>
      <c r="AW3" s="2">
        <v>45324</v>
      </c>
      <c r="AX3" s="2">
        <v>45325</v>
      </c>
      <c r="AY3" s="2">
        <v>45326</v>
      </c>
      <c r="AZ3" s="2">
        <v>45327</v>
      </c>
      <c r="BA3" s="2">
        <v>45328</v>
      </c>
      <c r="BB3" s="2">
        <v>45329</v>
      </c>
      <c r="BC3" s="2">
        <v>45330</v>
      </c>
      <c r="BD3" s="2">
        <v>45331</v>
      </c>
      <c r="BE3" s="2">
        <v>45332</v>
      </c>
      <c r="BF3" s="2">
        <v>45333</v>
      </c>
      <c r="BG3" s="2">
        <v>45334</v>
      </c>
      <c r="BH3" s="2">
        <v>45335</v>
      </c>
      <c r="BI3" s="2">
        <v>45336</v>
      </c>
      <c r="BJ3" s="2">
        <v>45337</v>
      </c>
      <c r="BK3" s="2">
        <v>45338</v>
      </c>
      <c r="BL3" s="2">
        <v>45339</v>
      </c>
      <c r="BM3" s="2">
        <v>45340</v>
      </c>
      <c r="BN3" s="2">
        <v>45341</v>
      </c>
      <c r="BO3" s="2">
        <v>45342</v>
      </c>
      <c r="BP3" s="2">
        <v>45343</v>
      </c>
      <c r="BQ3" s="2">
        <v>45344</v>
      </c>
      <c r="BR3" s="2">
        <v>45345</v>
      </c>
      <c r="BS3" s="2">
        <v>45346</v>
      </c>
      <c r="BT3" s="2">
        <v>45347</v>
      </c>
      <c r="BU3" s="2">
        <v>45348</v>
      </c>
      <c r="BV3" s="2">
        <v>45349</v>
      </c>
      <c r="BW3" s="2">
        <v>45350</v>
      </c>
      <c r="BX3" s="2">
        <v>45351</v>
      </c>
      <c r="BY3" s="2">
        <v>45352</v>
      </c>
      <c r="BZ3" s="2">
        <v>45353</v>
      </c>
      <c r="CA3" s="2">
        <v>45354</v>
      </c>
      <c r="CB3" s="2">
        <v>45355</v>
      </c>
      <c r="CC3" s="2">
        <v>45356</v>
      </c>
      <c r="CD3" s="2">
        <v>45357</v>
      </c>
      <c r="CE3" s="2">
        <v>45358</v>
      </c>
      <c r="CF3" s="2">
        <v>45359</v>
      </c>
      <c r="CG3" s="2">
        <v>45360</v>
      </c>
      <c r="CH3" s="2">
        <v>45361</v>
      </c>
    </row>
    <row r="4" spans="1:86" x14ac:dyDescent="0.25">
      <c r="B4" s="3" t="s">
        <v>8</v>
      </c>
      <c r="C4" s="4"/>
      <c r="D4" s="5"/>
      <c r="E4" s="10"/>
      <c r="F4" s="11"/>
      <c r="G4" s="11"/>
      <c r="H4" s="11"/>
      <c r="I4" s="11" t="s">
        <v>11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2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9"/>
    </row>
    <row r="5" spans="1:86" x14ac:dyDescent="0.25">
      <c r="B5" s="3" t="s">
        <v>9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15" t="s">
        <v>13</v>
      </c>
      <c r="T5" s="16"/>
      <c r="U5" s="16"/>
      <c r="V5" s="17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6"/>
    </row>
    <row r="6" spans="1:86" x14ac:dyDescent="0.25">
      <c r="B6" s="3" t="s">
        <v>10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18" t="s">
        <v>12</v>
      </c>
      <c r="AA6" s="19"/>
      <c r="AB6" s="19"/>
      <c r="AC6" s="19"/>
      <c r="AD6" s="19"/>
      <c r="AE6" s="19"/>
      <c r="AF6" s="19"/>
      <c r="AG6" s="20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6"/>
    </row>
    <row r="7" spans="1:86" x14ac:dyDescent="0.25">
      <c r="B7" s="3" t="s">
        <v>8</v>
      </c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21"/>
      <c r="AI7" s="13"/>
      <c r="AJ7" s="13"/>
      <c r="AK7" s="22" t="s">
        <v>14</v>
      </c>
      <c r="AL7" s="13"/>
      <c r="AM7" s="13"/>
      <c r="AN7" s="13"/>
      <c r="AO7" s="13"/>
      <c r="AP7" s="13"/>
      <c r="AQ7" s="13"/>
      <c r="AR7" s="13"/>
      <c r="AS7" s="13"/>
      <c r="AT7" s="13"/>
      <c r="AU7" s="14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9"/>
    </row>
    <row r="9" spans="1:86" x14ac:dyDescent="0.25">
      <c r="B9" s="63" t="s">
        <v>74</v>
      </c>
    </row>
    <row r="10" spans="1:86" x14ac:dyDescent="0.25">
      <c r="B10" s="64">
        <v>45350</v>
      </c>
      <c r="C10" s="24" t="s">
        <v>1</v>
      </c>
      <c r="D10" s="24"/>
      <c r="E10" s="24"/>
      <c r="F10" s="24"/>
      <c r="G10" s="24"/>
      <c r="H10" s="24"/>
      <c r="I10" s="24"/>
      <c r="J10" s="24" t="s">
        <v>2</v>
      </c>
      <c r="K10" s="24"/>
      <c r="L10" s="24"/>
      <c r="M10" s="24"/>
      <c r="N10" s="24"/>
      <c r="O10" s="24"/>
      <c r="P10" s="24"/>
      <c r="Q10" s="24" t="s">
        <v>3</v>
      </c>
      <c r="R10" s="24"/>
      <c r="S10" s="24"/>
      <c r="T10" s="24"/>
      <c r="U10" s="24"/>
      <c r="V10" s="24"/>
      <c r="W10" s="24"/>
      <c r="X10" s="24" t="s">
        <v>4</v>
      </c>
      <c r="Y10" s="24"/>
      <c r="Z10" s="24"/>
      <c r="AA10" s="24"/>
      <c r="AB10" s="24"/>
      <c r="AC10" s="24"/>
      <c r="AD10" s="24"/>
      <c r="AE10" s="24" t="s">
        <v>5</v>
      </c>
      <c r="AF10" s="24"/>
      <c r="AG10" s="24"/>
      <c r="AH10" s="24"/>
      <c r="AI10" s="24"/>
      <c r="AJ10" s="24"/>
      <c r="AK10" s="24"/>
      <c r="AL10" s="24" t="s">
        <v>6</v>
      </c>
      <c r="AM10" s="24"/>
      <c r="AN10" s="24"/>
      <c r="AO10" s="24"/>
      <c r="AP10" s="24"/>
      <c r="AQ10" s="24"/>
      <c r="AR10" s="24"/>
      <c r="AS10" s="24" t="s">
        <v>7</v>
      </c>
      <c r="AT10" s="24"/>
      <c r="AU10" s="24"/>
      <c r="AV10" s="24"/>
      <c r="AW10" s="24"/>
      <c r="AX10" s="24"/>
      <c r="AY10" s="24"/>
      <c r="AZ10" s="24" t="s">
        <v>15</v>
      </c>
      <c r="BA10" s="24"/>
      <c r="BB10" s="24"/>
      <c r="BC10" s="24"/>
      <c r="BD10" s="24"/>
      <c r="BE10" s="24"/>
      <c r="BF10" s="24"/>
      <c r="BG10" s="24" t="s">
        <v>16</v>
      </c>
      <c r="BH10" s="24"/>
      <c r="BI10" s="24"/>
      <c r="BJ10" s="24"/>
      <c r="BK10" s="24"/>
      <c r="BL10" s="24"/>
      <c r="BM10" s="24"/>
      <c r="BN10" s="24" t="s">
        <v>17</v>
      </c>
      <c r="BO10" s="24"/>
      <c r="BP10" s="24"/>
      <c r="BQ10" s="24"/>
      <c r="BR10" s="24"/>
      <c r="BS10" s="24"/>
      <c r="BT10" s="24"/>
      <c r="BU10" s="24" t="s">
        <v>18</v>
      </c>
      <c r="BV10" s="24"/>
      <c r="BW10" s="24"/>
      <c r="BX10" s="24"/>
      <c r="BY10" s="24"/>
      <c r="BZ10" s="24"/>
      <c r="CA10" s="24"/>
      <c r="CB10" s="24" t="s">
        <v>19</v>
      </c>
      <c r="CC10" s="24"/>
      <c r="CD10" s="24"/>
      <c r="CE10" s="24"/>
      <c r="CF10" s="24"/>
      <c r="CG10" s="24"/>
      <c r="CH10" s="24"/>
    </row>
    <row r="11" spans="1:86" ht="38.25" customHeight="1" x14ac:dyDescent="0.25">
      <c r="A11" s="41" t="s">
        <v>76</v>
      </c>
      <c r="B11" s="23" t="s">
        <v>0</v>
      </c>
      <c r="C11" s="2">
        <v>45278</v>
      </c>
      <c r="D11" s="2">
        <v>45279</v>
      </c>
      <c r="E11" s="2">
        <v>45280</v>
      </c>
      <c r="F11" s="2">
        <v>45281</v>
      </c>
      <c r="G11" s="2">
        <v>45282</v>
      </c>
      <c r="H11" s="2">
        <v>45283</v>
      </c>
      <c r="I11" s="2">
        <v>45284</v>
      </c>
      <c r="J11" s="2">
        <v>45285</v>
      </c>
      <c r="K11" s="2">
        <v>45286</v>
      </c>
      <c r="L11" s="2">
        <v>45287</v>
      </c>
      <c r="M11" s="2">
        <v>45288</v>
      </c>
      <c r="N11" s="2">
        <v>45289</v>
      </c>
      <c r="O11" s="2">
        <v>45290</v>
      </c>
      <c r="P11" s="2">
        <v>45291</v>
      </c>
      <c r="Q11" s="2">
        <v>45292</v>
      </c>
      <c r="R11" s="2">
        <v>45293</v>
      </c>
      <c r="S11" s="2">
        <v>45294</v>
      </c>
      <c r="T11" s="2">
        <v>45295</v>
      </c>
      <c r="U11" s="2">
        <v>45296</v>
      </c>
      <c r="V11" s="2">
        <v>45297</v>
      </c>
      <c r="W11" s="2">
        <v>45298</v>
      </c>
      <c r="X11" s="2">
        <v>45299</v>
      </c>
      <c r="Y11" s="2">
        <v>45300</v>
      </c>
      <c r="Z11" s="2">
        <v>45301</v>
      </c>
      <c r="AA11" s="2">
        <v>45302</v>
      </c>
      <c r="AB11" s="2">
        <v>45303</v>
      </c>
      <c r="AC11" s="2">
        <v>45304</v>
      </c>
      <c r="AD11" s="2">
        <v>45305</v>
      </c>
      <c r="AE11" s="2">
        <v>45306</v>
      </c>
      <c r="AF11" s="2">
        <v>45307</v>
      </c>
      <c r="AG11" s="2">
        <v>45308</v>
      </c>
      <c r="AH11" s="2">
        <v>45309</v>
      </c>
      <c r="AI11" s="2">
        <v>45310</v>
      </c>
      <c r="AJ11" s="2">
        <v>45311</v>
      </c>
      <c r="AK11" s="2">
        <v>45312</v>
      </c>
      <c r="AL11" s="2">
        <v>45313</v>
      </c>
      <c r="AM11" s="2">
        <v>45314</v>
      </c>
      <c r="AN11" s="2">
        <v>45315</v>
      </c>
      <c r="AO11" s="2">
        <v>45316</v>
      </c>
      <c r="AP11" s="2">
        <v>45317</v>
      </c>
      <c r="AQ11" s="2">
        <v>45318</v>
      </c>
      <c r="AR11" s="2">
        <v>45319</v>
      </c>
      <c r="AS11" s="2">
        <v>45320</v>
      </c>
      <c r="AT11" s="2">
        <v>45321</v>
      </c>
      <c r="AU11" s="2">
        <v>45322</v>
      </c>
      <c r="AV11" s="2">
        <v>45323</v>
      </c>
      <c r="AW11" s="2">
        <v>45324</v>
      </c>
      <c r="AX11" s="2">
        <v>45325</v>
      </c>
      <c r="AY11" s="2">
        <v>45326</v>
      </c>
      <c r="AZ11" s="2">
        <v>45327</v>
      </c>
      <c r="BA11" s="2">
        <v>45328</v>
      </c>
      <c r="BB11" s="2">
        <v>45329</v>
      </c>
      <c r="BC11" s="2">
        <v>45330</v>
      </c>
      <c r="BD11" s="2">
        <v>45331</v>
      </c>
      <c r="BE11" s="2">
        <v>45332</v>
      </c>
      <c r="BF11" s="2">
        <v>45333</v>
      </c>
      <c r="BG11" s="2">
        <v>45334</v>
      </c>
      <c r="BH11" s="2">
        <v>45335</v>
      </c>
      <c r="BI11" s="2">
        <v>45336</v>
      </c>
      <c r="BJ11" s="2">
        <v>45337</v>
      </c>
      <c r="BK11" s="2">
        <v>45338</v>
      </c>
      <c r="BL11" s="2">
        <v>45339</v>
      </c>
      <c r="BM11" s="2">
        <v>45340</v>
      </c>
      <c r="BN11" s="2">
        <v>45341</v>
      </c>
      <c r="BO11" s="2">
        <v>45342</v>
      </c>
      <c r="BP11" s="2">
        <v>45343</v>
      </c>
      <c r="BQ11" s="2">
        <v>45344</v>
      </c>
      <c r="BR11" s="2">
        <v>45345</v>
      </c>
      <c r="BS11" s="2">
        <v>45346</v>
      </c>
      <c r="BT11" s="2">
        <v>45347</v>
      </c>
      <c r="BU11" s="2">
        <v>45348</v>
      </c>
      <c r="BV11" s="2">
        <v>45349</v>
      </c>
      <c r="BW11" s="2">
        <v>45350</v>
      </c>
      <c r="BX11" s="2">
        <v>45351</v>
      </c>
      <c r="BY11" s="2">
        <v>45352</v>
      </c>
      <c r="BZ11" s="2">
        <v>45353</v>
      </c>
      <c r="CA11" s="2">
        <v>45354</v>
      </c>
      <c r="CB11" s="2">
        <v>45355</v>
      </c>
      <c r="CC11" s="2">
        <v>45356</v>
      </c>
      <c r="CD11" s="2">
        <v>45357</v>
      </c>
      <c r="CE11" s="2">
        <v>45358</v>
      </c>
      <c r="CF11" s="2">
        <v>45359</v>
      </c>
      <c r="CG11" s="2">
        <v>45360</v>
      </c>
      <c r="CH11" s="2">
        <v>45361</v>
      </c>
    </row>
    <row r="12" spans="1:86" x14ac:dyDescent="0.25">
      <c r="B12" s="3" t="s">
        <v>8</v>
      </c>
      <c r="C12" s="4"/>
      <c r="D12" s="5"/>
      <c r="E12" s="26"/>
      <c r="F12" s="27"/>
      <c r="G12" s="27"/>
      <c r="H12" s="27"/>
      <c r="I12" s="27" t="s">
        <v>11</v>
      </c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8"/>
      <c r="AA12" s="28"/>
      <c r="AB12" s="28"/>
      <c r="AC12" s="28"/>
      <c r="AD12" s="28"/>
      <c r="AE12" s="28"/>
      <c r="AF12" s="28"/>
      <c r="AG12" s="28"/>
      <c r="AH12" s="28"/>
      <c r="AI12" s="29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9"/>
    </row>
    <row r="13" spans="1:86" x14ac:dyDescent="0.25">
      <c r="A13" s="42">
        <f>21/44</f>
        <v>0.47727272727272729</v>
      </c>
      <c r="B13" s="3" t="s">
        <v>8</v>
      </c>
      <c r="C13" s="4"/>
      <c r="D13" s="5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37" t="s">
        <v>75</v>
      </c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3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6"/>
    </row>
    <row r="14" spans="1:86" x14ac:dyDescent="0.25">
      <c r="A14" s="42">
        <f>4/7</f>
        <v>0.5714285714285714</v>
      </c>
      <c r="B14" s="3" t="s">
        <v>9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34" t="s">
        <v>13</v>
      </c>
      <c r="AK14" s="35"/>
      <c r="AL14" s="35"/>
      <c r="AM14" s="36"/>
      <c r="AN14" s="35"/>
      <c r="AO14" s="35"/>
      <c r="AP14" s="36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6"/>
    </row>
    <row r="15" spans="1:86" x14ac:dyDescent="0.25">
      <c r="A15" s="42">
        <f>8/15</f>
        <v>0.53333333333333333</v>
      </c>
      <c r="B15" s="3" t="s">
        <v>10</v>
      </c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37" t="s">
        <v>12</v>
      </c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3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6"/>
    </row>
    <row r="16" spans="1:86" x14ac:dyDescent="0.25">
      <c r="B16" s="3" t="s">
        <v>8</v>
      </c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21"/>
      <c r="BP16" s="13"/>
      <c r="BQ16" s="13"/>
      <c r="BR16" s="22" t="s">
        <v>14</v>
      </c>
      <c r="BS16" s="13"/>
      <c r="BT16" s="13"/>
      <c r="BU16" s="13"/>
      <c r="BV16" s="13"/>
      <c r="BW16" s="13"/>
      <c r="BX16" s="13"/>
      <c r="BY16" s="13"/>
      <c r="BZ16" s="13"/>
      <c r="CA16" s="13"/>
      <c r="CB16" s="14"/>
      <c r="CC16" s="8"/>
      <c r="CD16" s="8"/>
      <c r="CE16" s="8"/>
      <c r="CF16" s="8"/>
      <c r="CG16" s="8"/>
      <c r="CH16" s="9"/>
    </row>
    <row r="17" spans="1:86" x14ac:dyDescent="0.25">
      <c r="A17" s="42">
        <f>AVERAGE(A12:A16)</f>
        <v>0.52734487734487734</v>
      </c>
    </row>
    <row r="19" spans="1:86" x14ac:dyDescent="0.25">
      <c r="BP19" s="40" t="s">
        <v>77</v>
      </c>
      <c r="BQ19" s="3">
        <v>6</v>
      </c>
      <c r="BR19" s="3">
        <v>6</v>
      </c>
      <c r="BS19" s="3"/>
      <c r="BT19" s="3"/>
      <c r="BU19" s="3">
        <v>6</v>
      </c>
      <c r="BV19" s="3">
        <v>6</v>
      </c>
      <c r="BW19" s="3">
        <v>6</v>
      </c>
      <c r="BX19" s="3">
        <v>6</v>
      </c>
      <c r="BY19" s="3">
        <v>6</v>
      </c>
      <c r="BZ19" s="3"/>
      <c r="CA19" s="3"/>
      <c r="CB19" s="3">
        <v>6</v>
      </c>
      <c r="CC19" s="3">
        <v>6</v>
      </c>
      <c r="CD19" s="3">
        <v>6</v>
      </c>
      <c r="CE19" s="3"/>
      <c r="CF19" s="3"/>
      <c r="CG19" s="3"/>
      <c r="CH19" s="3">
        <f>SUM(BQ19:CG19)</f>
        <v>60</v>
      </c>
    </row>
    <row r="20" spans="1:86" x14ac:dyDescent="0.25">
      <c r="BP20" s="40" t="s">
        <v>78</v>
      </c>
      <c r="BQ20" s="3">
        <v>1</v>
      </c>
      <c r="BR20" s="3">
        <v>4</v>
      </c>
      <c r="BS20" s="3"/>
      <c r="BT20" s="3"/>
      <c r="BU20" s="3">
        <v>4</v>
      </c>
      <c r="BV20" s="3">
        <v>9</v>
      </c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>
        <f>SUM(BQ20:CG20)</f>
        <v>18</v>
      </c>
    </row>
    <row r="21" spans="1:86" x14ac:dyDescent="0.25">
      <c r="BP21" s="40" t="s">
        <v>79</v>
      </c>
      <c r="BQ21" s="43">
        <f>BQ20/BQ19</f>
        <v>0.16666666666666666</v>
      </c>
      <c r="BR21" s="43">
        <f t="shared" ref="BR21:CH21" si="0">BR20/BR19</f>
        <v>0.66666666666666663</v>
      </c>
      <c r="BS21" s="43"/>
      <c r="BT21" s="43"/>
      <c r="BU21" s="43">
        <f t="shared" si="0"/>
        <v>0.66666666666666663</v>
      </c>
      <c r="BV21" s="43">
        <f t="shared" si="0"/>
        <v>1.5</v>
      </c>
      <c r="BW21" s="43">
        <f t="shared" si="0"/>
        <v>0</v>
      </c>
      <c r="BX21" s="43">
        <f t="shared" si="0"/>
        <v>0</v>
      </c>
      <c r="BY21" s="43">
        <f t="shared" si="0"/>
        <v>0</v>
      </c>
      <c r="BZ21" s="43"/>
      <c r="CA21" s="43"/>
      <c r="CB21" s="43">
        <f t="shared" si="0"/>
        <v>0</v>
      </c>
      <c r="CC21" s="43">
        <f t="shared" si="0"/>
        <v>0</v>
      </c>
      <c r="CD21" s="43">
        <f t="shared" si="0"/>
        <v>0</v>
      </c>
      <c r="CE21" s="43"/>
      <c r="CF21" s="43"/>
      <c r="CG21" s="43"/>
      <c r="CH21" s="43">
        <f t="shared" si="0"/>
        <v>0.3</v>
      </c>
    </row>
    <row r="23" spans="1:86" ht="21" x14ac:dyDescent="0.35">
      <c r="BN23" s="44" t="s">
        <v>20</v>
      </c>
      <c r="BO23" s="45"/>
      <c r="BP23" s="45"/>
      <c r="BQ23" s="45"/>
      <c r="BR23" s="45"/>
      <c r="BS23" s="59" t="s">
        <v>80</v>
      </c>
      <c r="BT23" s="45"/>
      <c r="BU23" s="45"/>
      <c r="BV23" s="45"/>
      <c r="BW23" s="45"/>
      <c r="BX23" s="45"/>
      <c r="BY23" s="46"/>
    </row>
    <row r="24" spans="1:86" x14ac:dyDescent="0.25">
      <c r="BN24" s="47" t="s">
        <v>21</v>
      </c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9"/>
    </row>
    <row r="25" spans="1:86" x14ac:dyDescent="0.25">
      <c r="BN25" s="47" t="s">
        <v>22</v>
      </c>
      <c r="BO25" s="48"/>
      <c r="BP25" s="48"/>
      <c r="BQ25" s="48" t="s">
        <v>26</v>
      </c>
      <c r="BR25" s="48"/>
      <c r="BS25" s="48"/>
      <c r="BT25" s="48"/>
      <c r="BU25" s="48"/>
      <c r="BV25" s="48"/>
      <c r="BW25" s="48"/>
      <c r="BX25" s="48"/>
      <c r="BY25" s="49"/>
    </row>
    <row r="26" spans="1:86" x14ac:dyDescent="0.25">
      <c r="BN26" s="47" t="s">
        <v>23</v>
      </c>
      <c r="BO26" s="48"/>
      <c r="BP26" s="48"/>
      <c r="BQ26" s="48" t="s">
        <v>69</v>
      </c>
      <c r="BR26" s="48"/>
      <c r="BS26" s="48"/>
      <c r="BT26" s="48"/>
      <c r="BU26" s="48"/>
      <c r="BV26" s="48"/>
      <c r="BW26" s="48"/>
      <c r="BX26" s="48"/>
      <c r="BY26" s="49"/>
    </row>
    <row r="27" spans="1:86" x14ac:dyDescent="0.25">
      <c r="BN27" s="47" t="s">
        <v>24</v>
      </c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9"/>
    </row>
    <row r="28" spans="1:86" x14ac:dyDescent="0.25">
      <c r="BN28" s="50" t="s">
        <v>25</v>
      </c>
      <c r="BO28" s="25"/>
      <c r="BP28" s="48"/>
      <c r="BQ28" s="48"/>
      <c r="BR28" s="48"/>
      <c r="BS28" s="48"/>
      <c r="BT28" s="48"/>
      <c r="BU28" s="48"/>
      <c r="BV28" s="48"/>
      <c r="BW28" s="48"/>
      <c r="BX28" s="48"/>
      <c r="BY28" s="49"/>
    </row>
    <row r="29" spans="1:86" ht="21" x14ac:dyDescent="0.35">
      <c r="BP29" s="51" t="s">
        <v>59</v>
      </c>
      <c r="BQ29" s="52"/>
      <c r="BR29" s="52"/>
      <c r="BS29" s="52"/>
      <c r="BT29" s="52"/>
      <c r="BU29" s="60" t="s">
        <v>81</v>
      </c>
      <c r="BV29" s="52"/>
      <c r="BW29" s="52"/>
      <c r="BX29" s="52"/>
      <c r="BY29" s="52"/>
      <c r="BZ29" s="52"/>
      <c r="CA29" s="52"/>
      <c r="CB29" s="53"/>
    </row>
    <row r="30" spans="1:86" x14ac:dyDescent="0.25">
      <c r="BP30" s="54" t="s">
        <v>61</v>
      </c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55"/>
    </row>
    <row r="31" spans="1:86" x14ac:dyDescent="0.25">
      <c r="BP31" s="54" t="s">
        <v>62</v>
      </c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55"/>
    </row>
    <row r="32" spans="1:86" x14ac:dyDescent="0.25">
      <c r="BP32" s="54" t="s">
        <v>63</v>
      </c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55"/>
    </row>
    <row r="33" spans="68:84" x14ac:dyDescent="0.25">
      <c r="BP33" s="54" t="s">
        <v>64</v>
      </c>
      <c r="BQ33" s="30"/>
      <c r="BR33" s="30"/>
      <c r="BS33" s="30"/>
      <c r="BT33" s="30" t="s">
        <v>60</v>
      </c>
      <c r="BU33" s="30"/>
      <c r="BV33" s="30"/>
      <c r="BW33" s="30"/>
      <c r="BX33" s="30"/>
      <c r="BY33" s="30"/>
      <c r="BZ33" s="30"/>
      <c r="CA33" s="30"/>
      <c r="CB33" s="55"/>
    </row>
    <row r="34" spans="68:84" x14ac:dyDescent="0.25">
      <c r="BP34" s="54" t="s">
        <v>65</v>
      </c>
      <c r="BQ34" s="30"/>
      <c r="BR34" s="30"/>
      <c r="BS34" s="30"/>
      <c r="BT34" s="30" t="s">
        <v>70</v>
      </c>
      <c r="BU34" s="30"/>
      <c r="BV34" s="30"/>
      <c r="BW34" s="30"/>
      <c r="BX34" s="30"/>
      <c r="BY34" s="30"/>
      <c r="BZ34" s="30"/>
      <c r="CA34" s="30"/>
      <c r="CB34" s="55"/>
    </row>
    <row r="35" spans="68:84" x14ac:dyDescent="0.25">
      <c r="BP35" s="54" t="s">
        <v>66</v>
      </c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55"/>
    </row>
    <row r="36" spans="68:84" x14ac:dyDescent="0.25">
      <c r="BP36" s="54" t="s">
        <v>67</v>
      </c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55"/>
    </row>
    <row r="37" spans="68:84" x14ac:dyDescent="0.25">
      <c r="BP37" s="56" t="s">
        <v>68</v>
      </c>
      <c r="BQ37" s="57"/>
      <c r="BR37" s="57"/>
      <c r="BS37" s="30"/>
      <c r="BT37" s="30"/>
      <c r="BU37" s="30"/>
      <c r="BV37" s="30"/>
      <c r="BW37" s="30"/>
      <c r="BX37" s="30"/>
      <c r="BY37" s="30"/>
      <c r="BZ37" s="30"/>
      <c r="CA37" s="30"/>
      <c r="CB37" s="55"/>
    </row>
    <row r="38" spans="68:84" ht="21" x14ac:dyDescent="0.35">
      <c r="BS38" s="44" t="s">
        <v>27</v>
      </c>
      <c r="BT38" s="45"/>
      <c r="BU38" s="45"/>
      <c r="BV38" s="45"/>
      <c r="BW38" s="45"/>
      <c r="BX38" s="45"/>
      <c r="BY38" s="59" t="s">
        <v>82</v>
      </c>
      <c r="BZ38" s="45"/>
      <c r="CA38" s="45"/>
      <c r="CB38" s="45"/>
      <c r="CC38" s="45"/>
      <c r="CD38" s="45"/>
      <c r="CE38" s="45"/>
      <c r="CF38" s="46"/>
    </row>
    <row r="39" spans="68:84" x14ac:dyDescent="0.25">
      <c r="BS39" s="47" t="s">
        <v>28</v>
      </c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9"/>
    </row>
    <row r="40" spans="68:84" x14ac:dyDescent="0.25">
      <c r="BS40" s="47" t="s">
        <v>29</v>
      </c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9"/>
    </row>
    <row r="41" spans="68:84" x14ac:dyDescent="0.25">
      <c r="BS41" s="47" t="s">
        <v>30</v>
      </c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9"/>
    </row>
    <row r="42" spans="68:84" x14ac:dyDescent="0.25">
      <c r="BS42" s="47" t="s">
        <v>33</v>
      </c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9"/>
    </row>
    <row r="43" spans="68:84" x14ac:dyDescent="0.25">
      <c r="BS43" s="47" t="s">
        <v>34</v>
      </c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9"/>
    </row>
    <row r="44" spans="68:84" x14ac:dyDescent="0.25">
      <c r="BS44" s="47" t="s">
        <v>35</v>
      </c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9"/>
    </row>
    <row r="45" spans="68:84" x14ac:dyDescent="0.25">
      <c r="BS45" s="47" t="s">
        <v>36</v>
      </c>
      <c r="BT45" s="48"/>
      <c r="BU45" s="48"/>
      <c r="BV45" s="48"/>
      <c r="BW45" s="48"/>
      <c r="BX45" s="48" t="s">
        <v>57</v>
      </c>
      <c r="BY45" s="48"/>
      <c r="BZ45" s="48"/>
      <c r="CA45" s="48"/>
      <c r="CB45" s="48"/>
      <c r="CC45" s="48"/>
      <c r="CD45" s="48"/>
      <c r="CE45" s="48"/>
      <c r="CF45" s="49"/>
    </row>
    <row r="46" spans="68:84" x14ac:dyDescent="0.25">
      <c r="BS46" s="47" t="s">
        <v>37</v>
      </c>
      <c r="BT46" s="48"/>
      <c r="BU46" s="48"/>
      <c r="BV46" s="48"/>
      <c r="BW46" s="48"/>
      <c r="BX46" s="48" t="s">
        <v>71</v>
      </c>
      <c r="BY46" s="48"/>
      <c r="BZ46" s="48"/>
      <c r="CA46" s="48"/>
      <c r="CB46" s="48"/>
      <c r="CC46" s="48"/>
      <c r="CD46" s="48"/>
      <c r="CE46" s="48"/>
      <c r="CF46" s="49"/>
    </row>
    <row r="47" spans="68:84" x14ac:dyDescent="0.25">
      <c r="BS47" s="47" t="s">
        <v>38</v>
      </c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9"/>
    </row>
    <row r="48" spans="68:84" x14ac:dyDescent="0.25">
      <c r="BS48" s="47" t="s">
        <v>39</v>
      </c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9"/>
    </row>
    <row r="49" spans="71:86" x14ac:dyDescent="0.25">
      <c r="BS49" s="47" t="s">
        <v>40</v>
      </c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9"/>
    </row>
    <row r="50" spans="71:86" x14ac:dyDescent="0.25">
      <c r="BS50" s="47" t="s">
        <v>41</v>
      </c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9"/>
    </row>
    <row r="51" spans="71:86" x14ac:dyDescent="0.25">
      <c r="BS51" s="47" t="s">
        <v>42</v>
      </c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9"/>
    </row>
    <row r="52" spans="71:86" x14ac:dyDescent="0.25">
      <c r="BS52" s="47" t="s">
        <v>43</v>
      </c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49"/>
    </row>
    <row r="53" spans="71:86" x14ac:dyDescent="0.25">
      <c r="BS53" s="47" t="s">
        <v>44</v>
      </c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9"/>
    </row>
    <row r="54" spans="71:86" x14ac:dyDescent="0.25">
      <c r="BS54" s="50" t="s">
        <v>45</v>
      </c>
      <c r="BT54" s="25"/>
      <c r="BU54" s="25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9"/>
    </row>
    <row r="55" spans="71:86" ht="21" x14ac:dyDescent="0.35">
      <c r="BV55" s="51" t="s">
        <v>31</v>
      </c>
      <c r="BW55" s="52"/>
      <c r="BX55" s="52"/>
      <c r="BY55" s="52"/>
      <c r="BZ55" s="52"/>
      <c r="CA55" s="60" t="s">
        <v>83</v>
      </c>
      <c r="CB55" s="52"/>
      <c r="CC55" s="52"/>
      <c r="CD55" s="52"/>
      <c r="CE55" s="52"/>
      <c r="CF55" s="52"/>
      <c r="CG55" s="52"/>
      <c r="CH55" s="53"/>
    </row>
    <row r="56" spans="71:86" x14ac:dyDescent="0.25">
      <c r="BV56" s="54" t="s">
        <v>32</v>
      </c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55"/>
    </row>
    <row r="57" spans="71:86" x14ac:dyDescent="0.25">
      <c r="BV57" s="54" t="s">
        <v>46</v>
      </c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55"/>
    </row>
    <row r="58" spans="71:86" x14ac:dyDescent="0.25">
      <c r="BV58" s="54" t="s">
        <v>47</v>
      </c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55"/>
    </row>
    <row r="59" spans="71:86" x14ac:dyDescent="0.25">
      <c r="BV59" s="54" t="s">
        <v>48</v>
      </c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55"/>
    </row>
    <row r="60" spans="71:86" x14ac:dyDescent="0.25">
      <c r="BV60" s="54" t="s">
        <v>49</v>
      </c>
      <c r="BW60" s="30"/>
      <c r="BX60" s="30"/>
      <c r="BY60" s="30"/>
      <c r="BZ60" s="30" t="s">
        <v>58</v>
      </c>
      <c r="CA60" s="30"/>
      <c r="CB60" s="30"/>
      <c r="CC60" s="30"/>
      <c r="CD60" s="30"/>
      <c r="CE60" s="30"/>
      <c r="CF60" s="30"/>
      <c r="CG60" s="30"/>
      <c r="CH60" s="55"/>
    </row>
    <row r="61" spans="71:86" x14ac:dyDescent="0.25">
      <c r="BV61" s="54" t="s">
        <v>50</v>
      </c>
      <c r="BW61" s="30"/>
      <c r="BX61" s="30"/>
      <c r="BY61" s="30"/>
      <c r="BZ61" s="30" t="s">
        <v>72</v>
      </c>
      <c r="CA61" s="30"/>
      <c r="CB61" s="30"/>
      <c r="CC61" s="30"/>
      <c r="CD61" s="30"/>
      <c r="CE61" s="30"/>
      <c r="CF61" s="30"/>
      <c r="CG61" s="30"/>
      <c r="CH61" s="55"/>
    </row>
    <row r="62" spans="71:86" x14ac:dyDescent="0.25">
      <c r="BV62" s="54" t="s">
        <v>51</v>
      </c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55"/>
    </row>
    <row r="63" spans="71:86" x14ac:dyDescent="0.25">
      <c r="BV63" s="54" t="s">
        <v>52</v>
      </c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55"/>
    </row>
    <row r="64" spans="71:86" x14ac:dyDescent="0.25">
      <c r="BV64" s="54" t="s">
        <v>53</v>
      </c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55"/>
    </row>
    <row r="65" spans="74:86" x14ac:dyDescent="0.25">
      <c r="BV65" s="54" t="s">
        <v>54</v>
      </c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55"/>
    </row>
    <row r="66" spans="74:86" x14ac:dyDescent="0.25">
      <c r="BV66" s="54" t="s">
        <v>55</v>
      </c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55"/>
    </row>
    <row r="67" spans="74:86" x14ac:dyDescent="0.25">
      <c r="BV67" s="56" t="s">
        <v>56</v>
      </c>
      <c r="BW67" s="57"/>
      <c r="BX67" s="57"/>
      <c r="BY67" s="57"/>
      <c r="BZ67" s="57"/>
      <c r="CA67" s="57"/>
      <c r="CB67" s="57"/>
      <c r="CC67" s="57"/>
      <c r="CD67" s="57"/>
      <c r="CE67" s="57"/>
      <c r="CF67" s="57"/>
      <c r="CG67" s="57"/>
      <c r="CH67" s="58"/>
    </row>
  </sheetData>
  <mergeCells count="24">
    <mergeCell ref="BU2:CA2"/>
    <mergeCell ref="CB2:CH2"/>
    <mergeCell ref="AZ10:BF10"/>
    <mergeCell ref="BG10:BM10"/>
    <mergeCell ref="BN10:BT10"/>
    <mergeCell ref="BU10:CA10"/>
    <mergeCell ref="CB10:CH10"/>
    <mergeCell ref="AL10:AR10"/>
    <mergeCell ref="AS10:AY10"/>
    <mergeCell ref="AZ2:BF2"/>
    <mergeCell ref="BG2:BM2"/>
    <mergeCell ref="BN2:BT2"/>
    <mergeCell ref="C10:I10"/>
    <mergeCell ref="J10:P10"/>
    <mergeCell ref="Q10:W10"/>
    <mergeCell ref="X10:AD10"/>
    <mergeCell ref="AE10:AK10"/>
    <mergeCell ref="AS2:AY2"/>
    <mergeCell ref="C2:I2"/>
    <mergeCell ref="J2:P2"/>
    <mergeCell ref="Q2:W2"/>
    <mergeCell ref="X2:AD2"/>
    <mergeCell ref="AE2:AK2"/>
    <mergeCell ref="AL2:AR2"/>
  </mergeCells>
  <pageMargins left="0.25" right="0.25" top="0.75" bottom="0.75" header="0.3" footer="0.3"/>
  <pageSetup paperSize="9" scale="71" orientation="landscape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2B91599BB9271E43A52CAB0805039F60" ma:contentTypeVersion="17" ma:contentTypeDescription="Yeni belge oluşturun." ma:contentTypeScope="" ma:versionID="3315383daffddf246e9bf2c23a4dd629">
  <xsd:schema xmlns:xsd="http://www.w3.org/2001/XMLSchema" xmlns:xs="http://www.w3.org/2001/XMLSchema" xmlns:p="http://schemas.microsoft.com/office/2006/metadata/properties" xmlns:ns3="3740c917-f15b-4650-8911-106ec506ed8f" xmlns:ns4="80260668-ae34-4a0a-b1f8-07045d272334" targetNamespace="http://schemas.microsoft.com/office/2006/metadata/properties" ma:root="true" ma:fieldsID="f1d1abea5036fa04fbb1297fc6a7e726" ns3:_="" ns4:_="">
    <xsd:import namespace="3740c917-f15b-4650-8911-106ec506ed8f"/>
    <xsd:import namespace="80260668-ae34-4a0a-b1f8-07045d27233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40c917-f15b-4650-8911-106ec506ed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60668-ae34-4a0a-b1f8-07045d27233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40c917-f15b-4650-8911-106ec506ed8f" xsi:nil="true"/>
  </documentManagement>
</p:properties>
</file>

<file path=customXml/itemProps1.xml><?xml version="1.0" encoding="utf-8"?>
<ds:datastoreItem xmlns:ds="http://schemas.openxmlformats.org/officeDocument/2006/customXml" ds:itemID="{7B1BCB17-F7C3-4462-9E19-7571D1CC90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8D8CA2-5A5E-4CB3-B674-C35A95DF88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40c917-f15b-4650-8911-106ec506ed8f"/>
    <ds:schemaRef ds:uri="80260668-ae34-4a0a-b1f8-07045d2723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A791E3-D447-4864-BA66-980693D8D0CA}">
  <ds:schemaRefs>
    <ds:schemaRef ds:uri="3740c917-f15b-4650-8911-106ec506ed8f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80260668-ae34-4a0a-b1f8-07045d272334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CAI_DevreyeAlma Planı</vt:lpstr>
      <vt:lpstr>'CAI_DevreyeAlma Planı'!Yazdırma_Alanı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Akbasoglu</dc:creator>
  <cp:lastModifiedBy>Ali Akbasoglu</cp:lastModifiedBy>
  <cp:lastPrinted>2023-12-26T09:57:58Z</cp:lastPrinted>
  <dcterms:created xsi:type="dcterms:W3CDTF">2023-12-26T09:30:01Z</dcterms:created>
  <dcterms:modified xsi:type="dcterms:W3CDTF">2024-02-28T09:29:04Z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0x0101002B91599BB9271E43A52CAB0805039F60</vt:lpwstr>
  </property>
</Properties>
</file>